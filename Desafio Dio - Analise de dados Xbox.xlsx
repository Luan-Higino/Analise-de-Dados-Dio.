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250" windowHeight="8370" tabRatio="520" firstSheet="1" activeTab="3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E25" i="3"/>
  <c r="E36" i="3"/>
</calcChain>
</file>

<file path=xl/sharedStrings.xml><?xml version="1.0" encoding="utf-8"?>
<sst xmlns="http://schemas.openxmlformats.org/spreadsheetml/2006/main" count="2036" uniqueCount="336">
  <si>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</si>
  <si>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</si>
  <si>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</si>
  <si>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</si>
  <si>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</si>
  <si>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</si>
  <si>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</si>
  <si>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</si>
  <si>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</si>
  <si>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</si>
  <si>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</si>
  <si>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</si>
  <si>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</si>
  <si>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</si>
  <si>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</si>
  <si>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</si>
  <si>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</si>
  <si>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</si>
  <si>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</si>
  <si>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</si>
  <si>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</si>
  <si>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</si>
  <si>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</si>
  <si>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</si>
  <si>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</si>
  <si>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</si>
  <si>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</si>
  <si>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</si>
  <si>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</si>
  <si>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</si>
  <si>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</si>
  <si>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</si>
  <si>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</si>
  <si>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</si>
  <si>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</si>
  <si>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</si>
  <si>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</si>
  <si>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</si>
  <si>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</si>
  <si>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</si>
  <si>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</si>
  <si>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</si>
  <si>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</si>
  <si>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</si>
  <si>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</si>
  <si>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</si>
  <si>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</si>
  <si>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</si>
  <si>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</si>
  <si>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</si>
  <si>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</si>
  <si>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</si>
  <si>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</si>
  <si>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</si>
  <si>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</si>
  <si>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</si>
  <si>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</si>
  <si>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</si>
  <si>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</si>
  <si>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</si>
  <si>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</si>
  <si>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</si>
  <si>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</si>
  <si>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</si>
  <si>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</si>
  <si>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</si>
  <si>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</si>
  <si>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</si>
  <si>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</si>
  <si>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</si>
  <si>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</si>
  <si>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</si>
  <si>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</si>
  <si>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</si>
  <si>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</si>
  <si>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</si>
  <si>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</si>
  <si>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</si>
  <si>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</si>
  <si>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</si>
  <si>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</si>
  <si>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</si>
  <si>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</si>
  <si>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</si>
  <si>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</si>
  <si>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</si>
  <si>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</si>
  <si>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</si>
  <si>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</si>
  <si>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</si>
  <si>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</si>
  <si>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</si>
  <si>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</si>
  <si>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</si>
  <si>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</si>
  <si>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</si>
  <si>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</si>
  <si>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</si>
  <si>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</si>
  <si>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</si>
  <si>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</si>
  <si>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</si>
  <si>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</si>
  <si>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</si>
  <si>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</si>
  <si>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</si>
  <si>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</si>
  <si>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</si>
  <si>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</si>
  <si>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</si>
  <si>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</si>
  <si>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</si>
  <si>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</si>
  <si>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</si>
  <si>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</si>
  <si>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</si>
  <si>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</si>
  <si>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</si>
  <si>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</si>
  <si>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</si>
  <si>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</si>
  <si>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</si>
  <si>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</si>
  <si>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</si>
  <si>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</si>
  <si>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</si>
  <si>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</si>
  <si>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</si>
  <si>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</si>
  <si>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</si>
  <si>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</si>
  <si>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</si>
  <si>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</si>
  <si>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</si>
  <si>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</si>
  <si>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</si>
  <si>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</si>
  <si>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</si>
  <si>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</si>
  <si>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</si>
  <si>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</si>
  <si>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</si>
  <si>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</si>
  <si>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</si>
  <si>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</si>
  <si>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</si>
  <si>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</si>
  <si>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</si>
  <si>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</si>
  <si>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</si>
  <si>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</si>
  <si>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</si>
  <si>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</si>
  <si>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</si>
  <si>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</si>
  <si>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</si>
  <si>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</si>
  <si>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</si>
  <si>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</si>
  <si>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</si>
  <si>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</si>
  <si>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</si>
  <si>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</si>
  <si>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</si>
  <si>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</si>
  <si>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</si>
  <si>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</si>
  <si>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</si>
  <si>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</si>
  <si>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</si>
  <si>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</si>
  <si>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</si>
  <si>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</si>
  <si>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</si>
  <si>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</si>
  <si>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</si>
  <si>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</si>
  <si>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</si>
  <si>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</si>
  <si>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</si>
  <si>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</si>
  <si>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</si>
  <si>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</si>
  <si>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</si>
  <si>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</si>
  <si>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</si>
  <si>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</si>
  <si>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</si>
  <si>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</si>
  <si>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</si>
  <si>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</si>
  <si>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</si>
  <si>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</si>
  <si>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</si>
  <si>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</si>
  <si>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</si>
  <si>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</si>
  <si>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</si>
  <si>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</si>
  <si>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</si>
  <si>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</si>
  <si>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</si>
  <si>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</si>
  <si>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</si>
  <si>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</si>
  <si>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</si>
  <si>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</si>
  <si>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</si>
  <si>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</si>
  <si>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</si>
  <si>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</si>
  <si>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</si>
  <si>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</si>
  <si>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</si>
  <si>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</si>
  <si>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</si>
  <si>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</si>
  <si>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</si>
  <si>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</si>
  <si>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</si>
  <si>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</si>
  <si>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</si>
  <si>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</si>
  <si>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</si>
  <si>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</si>
  <si>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</si>
  <si>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</si>
  <si>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</si>
  <si>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</si>
  <si>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</si>
  <si>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</si>
  <si>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</si>
  <si>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</si>
  <si>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</si>
  <si>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</si>
  <si>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</si>
  <si>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</si>
  <si>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</si>
  <si>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</si>
  <si>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</si>
  <si>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</si>
  <si>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</si>
  <si>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</si>
  <si>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</si>
  <si>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</si>
  <si>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</si>
  <si>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</si>
  <si>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</si>
  <si>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</si>
  <si>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</si>
  <si>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</si>
  <si>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</si>
  <si>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</si>
  <si>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</si>
  <si>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</si>
  <si>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</si>
  <si>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</si>
  <si>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</si>
  <si>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</si>
  <si>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</si>
  <si>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</si>
  <si>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</si>
  <si>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</si>
  <si>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</si>
  <si>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</si>
  <si>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</si>
  <si>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</si>
  <si>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</si>
  <si>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</si>
  <si>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</si>
  <si>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</si>
  <si>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</si>
  <si>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</si>
  <si>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</si>
  <si>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</si>
  <si>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</si>
  <si>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</si>
  <si>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</si>
  <si>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</si>
  <si>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</si>
  <si>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</si>
  <si>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</si>
  <si>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</si>
  <si>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</si>
  <si>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</si>
  <si>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</si>
  <si>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</si>
  <si>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</si>
  <si>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</si>
  <si>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</si>
  <si>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</si>
  <si>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</si>
  <si>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</si>
  <si>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</si>
  <si>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</si>
  <si>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</si>
  <si>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</si>
  <si>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</si>
  <si>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</si>
  <si>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</si>
  <si>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</si>
  <si>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</si>
  <si>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</si>
  <si>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</si>
  <si>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</si>
  <si>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</si>
  <si>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</si>
  <si>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</si>
  <si>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</si>
  <si>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</si>
  <si>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</si>
  <si>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</si>
  <si>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</si>
  <si>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</si>
  <si>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</si>
  <si>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</si>
  <si>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</si>
  <si>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</si>
  <si>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</si>
  <si>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</si>
  <si>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</si>
  <si>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</si>
  <si>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</si>
  <si>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</si>
  <si>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Soma de Coupon Value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</si>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</sst>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 - Analise de dados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16</xdr:row>
      <xdr:rowOff>90207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16</xdr:row>
      <xdr:rowOff>90207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80840</xdr:colOff>
      <xdr:row>0</xdr:row>
      <xdr:rowOff>0</xdr:rowOff>
    </xdr:from>
    <xdr:to>
      <xdr:col>2</xdr:col>
      <xdr:colOff>517870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162733" y="0"/>
          <a:ext cx="709173" cy="778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77848" y="1177699"/>
          <a:ext cx="5167313" cy="1574687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41556" y="1177699"/>
          <a:ext cx="5230245" cy="149848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9FFA6A4-92C7-4A64-8359-C152E680D9E4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65942" y="3063308"/>
          <a:ext cx="11532053" cy="306671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19</xdr:col>
      <xdr:colOff>176893</xdr:colOff>
      <xdr:row>6</xdr:row>
      <xdr:rowOff>53067</xdr:rowOff>
    </xdr:from>
    <xdr:to>
      <xdr:col>24</xdr:col>
      <xdr:colOff>204107</xdr:colOff>
      <xdr:row>34</xdr:row>
      <xdr:rowOff>167367</xdr:rowOff>
    </xdr:to>
    <xdr:grpSp>
      <xdr:nvGrpSpPr>
        <xdr:cNvPr id="2" name="Agrupar 1"/>
        <xdr:cNvGrpSpPr/>
      </xdr:nvGrpSpPr>
      <xdr:grpSpPr>
        <a:xfrm>
          <a:off x="13920107" y="1168853"/>
          <a:ext cx="3429000" cy="4985657"/>
          <a:chOff x="13920107" y="1168853"/>
          <a:chExt cx="3429000" cy="4985657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14165036" y="1168853"/>
            <a:ext cx="3184071" cy="4985657"/>
            <a:chOff x="2095500" y="1155099"/>
            <a:chExt cx="4655344" cy="1559526"/>
          </a:xfrm>
        </xdr:grpSpPr>
        <xdr:sp macro="" textlink="">
          <xdr:nvSpPr>
            <xdr:cNvPr id="39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D̳ashboard!$E$47">
          <xdr:nvSpPr>
            <xdr:cNvPr id="40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2862775" y="1633123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4BFB5D9-1F91-43D7-A0B3-739AD5CA0917}" type="TxLink">
                <a:rPr lang="en-US" sz="1100" b="0" i="0" u="none" strike="noStrike" kern="1200">
                  <a:solidFill>
                    <a:srgbClr val="000000"/>
                  </a:solidFill>
                  <a:latin typeface="Aptos Narrow"/>
                </a:rPr>
                <a:t>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41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55099"/>
              <a:ext cx="4655344" cy="44033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32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discount</a:t>
              </a:r>
            </a:p>
          </xdr:txBody>
        </xdr:sp>
      </xdr:grpSp>
      <xdr:sp macro="" textlink="C̳álculos!E47">
        <xdr:nvSpPr>
          <xdr:cNvPr id="42" name="Retângulo: Cantos Arredondados 21">
            <a:extLst>
              <a:ext uri="{FF2B5EF4-FFF2-40B4-BE49-F238E27FC236}">
                <a16:creationId xmlns:a16="http://schemas.microsoft.com/office/drawing/2014/main" id="{338342F4-73EE-962B-63B1-5B4F29A7A23B}"/>
              </a:ext>
            </a:extLst>
          </xdr:cNvPr>
          <xdr:cNvSpPr/>
        </xdr:nvSpPr>
        <xdr:spPr>
          <a:xfrm>
            <a:off x="13920107" y="4366531"/>
            <a:ext cx="3400328" cy="899092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C70E2AB-DAF0-4CD3-AEC0-94DA78CB04A6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R$ 476,00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 editAs="oneCell">
    <xdr:from>
      <xdr:col>20</xdr:col>
      <xdr:colOff>326573</xdr:colOff>
      <xdr:row>16</xdr:row>
      <xdr:rowOff>3064</xdr:rowOff>
    </xdr:from>
    <xdr:to>
      <xdr:col>23</xdr:col>
      <xdr:colOff>272142</xdr:colOff>
      <xdr:row>21</xdr:row>
      <xdr:rowOff>87087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0144" y="2806135"/>
          <a:ext cx="1986641" cy="968488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43:C55" firstHeaderRow="1" firstDataRow="1" firstDataCol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3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Coupon Value" fld="11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easeasonpass_total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bl_annual_total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6">
      <filters>
        <filter val="Annual"/>
      </filters>
    </filterColumn>
    <filterColumn colId="11">
      <filters>
        <filter val="R$ 1,00"/>
        <filter val="R$ 10,00"/>
        <filter val="R$ 12,00"/>
        <filter val="R$ 15,00"/>
        <filter val="R$ 2,00"/>
        <filter val="R$ 20,00"/>
        <filter val="R$ 3,00"/>
        <filter val="R$ 5,00"/>
        <filter val="R$ 7,00"/>
        <filter val="R$ 8,00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85" zoomScaleNormal="85" workbookViewId="0">
      <selection activeCell="L2" sqref="L2:L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5"/>
  <sheetViews>
    <sheetView showGridLines="0" topLeftCell="A37" workbookViewId="0">
      <selection activeCell="C55" sqref="C55"/>
    </sheetView>
  </sheetViews>
  <sheetFormatPr defaultRowHeight="14.25"/>
  <cols>
    <col min="2" max="2" width="18" customWidth="1"/>
    <col min="3" max="3" width="21.75" customWidth="1"/>
    <col min="4" max="4" width="22.375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  <row r="43" spans="2:5">
      <c r="B43" s="12" t="s">
        <v>309</v>
      </c>
      <c r="C43" t="s">
        <v>324</v>
      </c>
    </row>
    <row r="44" spans="2:5">
      <c r="B44" s="14" t="s">
        <v>325</v>
      </c>
      <c r="C44" s="15">
        <v>0</v>
      </c>
    </row>
    <row r="45" spans="2:5">
      <c r="B45" s="14" t="s">
        <v>326</v>
      </c>
      <c r="C45" s="15">
        <v>67</v>
      </c>
    </row>
    <row r="46" spans="2:5">
      <c r="B46" s="14" t="s">
        <v>327</v>
      </c>
      <c r="C46" s="15">
        <v>48</v>
      </c>
    </row>
    <row r="47" spans="2:5">
      <c r="B47" s="14" t="s">
        <v>328</v>
      </c>
      <c r="C47" s="15">
        <v>48</v>
      </c>
      <c r="E47" s="17">
        <f>GETPIVOTDATA("Coupon Value",$B$43)</f>
        <v>476</v>
      </c>
    </row>
    <row r="48" spans="2:5">
      <c r="B48" s="14" t="s">
        <v>329</v>
      </c>
      <c r="C48" s="15">
        <v>40</v>
      </c>
    </row>
    <row r="49" spans="2:3">
      <c r="B49" s="14" t="s">
        <v>330</v>
      </c>
      <c r="C49" s="15">
        <v>48</v>
      </c>
    </row>
    <row r="50" spans="2:3">
      <c r="B50" s="14" t="s">
        <v>331</v>
      </c>
      <c r="C50" s="15">
        <v>53</v>
      </c>
    </row>
    <row r="51" spans="2:3">
      <c r="B51" s="14" t="s">
        <v>332</v>
      </c>
      <c r="C51" s="15">
        <v>48</v>
      </c>
    </row>
    <row r="52" spans="2:3">
      <c r="B52" s="14" t="s">
        <v>333</v>
      </c>
      <c r="C52" s="15">
        <v>53</v>
      </c>
    </row>
    <row r="53" spans="2:3">
      <c r="B53" s="14" t="s">
        <v>334</v>
      </c>
      <c r="C53" s="15">
        <v>36</v>
      </c>
    </row>
    <row r="54" spans="2:3">
      <c r="B54" s="14" t="s">
        <v>335</v>
      </c>
      <c r="C54" s="15">
        <v>35</v>
      </c>
    </row>
    <row r="55" spans="2:3">
      <c r="B55" s="14" t="s">
        <v>310</v>
      </c>
      <c r="C55" s="15">
        <v>476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36"/>
  <sheetViews>
    <sheetView showGridLines="0" showRowColHeaders="0" tabSelected="1" zoomScale="70" zoomScaleNormal="70" workbookViewId="0">
      <selection activeCell="AA9" sqref="AA9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24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  <c r="T2" s="16"/>
      <c r="U2" s="16"/>
      <c r="V2" s="16"/>
      <c r="W2" s="16"/>
      <c r="X2" s="16"/>
    </row>
    <row r="3" spans="1:24" ht="19.5" customHeight="1" thickTop="1"/>
    <row r="4" spans="1:24" s="7" customFormat="1" ht="8.25" customHeight="1">
      <c r="A4" s="4"/>
    </row>
    <row r="5" spans="1:24" s="7" customFormat="1" ht="7.5" customHeight="1">
      <c r="A5" s="4"/>
    </row>
    <row r="6" spans="1:24" s="7" customFormat="1" ht="10.5" customHeight="1">
      <c r="A6" s="4"/>
    </row>
    <row r="7" spans="1:24" s="7" customFormat="1" ht="9.75" customHeight="1">
      <c r="A7" s="4"/>
    </row>
    <row r="8" spans="1:24" s="7" customFormat="1" ht="11.25" customHeight="1">
      <c r="A8" s="4"/>
    </row>
    <row r="9" spans="1:24" s="7" customFormat="1">
      <c r="A9" s="4"/>
    </row>
    <row r="10" spans="1:24" s="7" customFormat="1">
      <c r="A10" s="4"/>
    </row>
    <row r="11" spans="1:24" s="7" customFormat="1" ht="14.25" customHeight="1">
      <c r="A11" s="4"/>
    </row>
    <row r="12" spans="1:24" s="7" customFormat="1">
      <c r="A12" s="4"/>
    </row>
    <row r="13" spans="1:24" s="7" customFormat="1">
      <c r="A13" s="4"/>
    </row>
    <row r="14" spans="1:24" s="7" customFormat="1">
      <c r="A14" s="4"/>
    </row>
    <row r="15" spans="1:24" s="7" customFormat="1">
      <c r="A15" s="4"/>
    </row>
    <row r="16" spans="1:24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19483571-f922-4e8e-9c1c-26f0a2252132"/>
    <ds:schemaRef ds:uri="851b35d3-0456-4d6a-bc2f-da927e91d158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2025-11-05T13:46:50Z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